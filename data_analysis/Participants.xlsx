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avila\Documents\Research\FittsLawR\fittsStudy\data_analysis\"/>
    </mc:Choice>
  </mc:AlternateContent>
  <xr:revisionPtr revIDLastSave="0" documentId="13_ncr:1_{7627DF76-EA29-4025-9BBC-A3EAFB8BD5B8}" xr6:coauthVersionLast="47" xr6:coauthVersionMax="47" xr10:uidLastSave="{00000000-0000-0000-0000-000000000000}"/>
  <bookViews>
    <workbookView xWindow="28680" yWindow="-120" windowWidth="29040" windowHeight="15720" xr2:uid="{E312E5C9-68AC-4497-BDDB-8740A467E1C4}"/>
  </bookViews>
  <sheets>
    <sheet name="Participants" sheetId="2" r:id="rId1"/>
    <sheet name="Tot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P8" i="2"/>
  <c r="P7" i="2"/>
  <c r="J11" i="2"/>
  <c r="L10" i="2"/>
  <c r="K10" i="2"/>
  <c r="J10" i="2"/>
  <c r="B3" i="1"/>
  <c r="B4" i="1"/>
  <c r="B5" i="1"/>
  <c r="B6" i="1"/>
  <c r="B7" i="1"/>
  <c r="B8" i="1"/>
  <c r="B9" i="1"/>
  <c r="B2" i="1"/>
  <c r="B10" i="1" l="1"/>
</calcChain>
</file>

<file path=xl/sharedStrings.xml><?xml version="1.0" encoding="utf-8"?>
<sst xmlns="http://schemas.openxmlformats.org/spreadsheetml/2006/main" count="26" uniqueCount="25">
  <si>
    <t>Order</t>
  </si>
  <si>
    <t>Participant id</t>
  </si>
  <si>
    <t>515f282b-8eda-4495-b956-27b5b3b8f541</t>
  </si>
  <si>
    <t>258345ae-97b6-4d3e-967a-8ea2ec317646</t>
  </si>
  <si>
    <t>1abb948d-1447-49a4-99b7-d44ec7d43c92</t>
  </si>
  <si>
    <t>37cab6a8-23c5-4c06-b833-d7d81bb59deb</t>
  </si>
  <si>
    <t>0bf733e8-fb49-4c02-a04b-30d858e77f4d</t>
  </si>
  <si>
    <t>a82582ab-6b34-49dc-9e48-a1c105fb614e</t>
  </si>
  <si>
    <t>154464a6-deb4-43b5-aa10-3069ea48bd2b</t>
  </si>
  <si>
    <t>4c1d71b2-2ffb-4a78-bf30-8997a4837565</t>
  </si>
  <si>
    <t>412143b2-afe0-413f-94fa-760dcb890417</t>
  </si>
  <si>
    <t>1356a579-de46-47ba-b38e-3059a66d9154</t>
  </si>
  <si>
    <t>ed68159d-c0ef-4c26-97c4-b9c56b320d3e</t>
  </si>
  <si>
    <t>5086a4cd-6184-490c-a2fc-796872713589</t>
  </si>
  <si>
    <t>49fdff37-48f2-4f74-9aad-eac94b7f7142</t>
  </si>
  <si>
    <t>62698028-1622-42e0-8bee-71093a209362</t>
  </si>
  <si>
    <t>6ea30fe1-e2e9-42c6-b0d4-d613d0b83620</t>
  </si>
  <si>
    <t>*</t>
  </si>
  <si>
    <t>lefthanded</t>
  </si>
  <si>
    <t>a7bb3458-af72-4858-9ec8-2c1500215921</t>
  </si>
  <si>
    <t>519b81d2-a1bd-409c-b301-55feb14af41d</t>
  </si>
  <si>
    <t>eb327301-70b9-4e27-bbe4-7e716722ef9b</t>
  </si>
  <si>
    <t>1ce7779e-eff2-478f-b326-6ae70fd6542d</t>
  </si>
  <si>
    <t>9645c51a-9d84-4005-b976-9eaf6c717f09</t>
  </si>
  <si>
    <t>45ef630c-2400-44bc-93df-dc646c2507ad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</si>
</sst>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Google Sans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45000-5E62-4EA6-92CC-73A5CADB4F0B}" name="Table2" displayName="Table2" ref="A1:C22" totalsRowShown="0">
  <autoFilter ref="A1:C22" xr:uid="{90245000-5E62-4EA6-92CC-73A5CADB4F0B}"/>
  <tableColumns count="3">
    <tableColumn id="1" xr3:uid="{71FAC1A9-D0B1-4F4C-9433-2E468D8801B7}" name="Participant id" dataDxfId="0"/>
    <tableColumn id="2" xr3:uid="{DB035266-98F4-40D8-AF2D-38F5FAD9EB9A}" name="Order"/>
    <tableColumn id="3" xr3:uid="{A48AC03A-7340-4BF7-AE25-951AE45B991F}" name="lefthan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C67C-FE0E-4B01-B243-E31C793603DA}">
  <dimension ref="A1:P22"/>
  <sheetViews>
    <sheetView tabSelected="1" workbookViewId="0">
      <selection activeCell="H21" sqref="H21"/>
    </sheetView>
  </sheetViews>
  <sheetFormatPr defaultRowHeight="15"/>
  <cols>
    <col min="1" max="1" width="41.5703125" customWidth="1"/>
    <col min="2" max="2" width="18.140625" customWidth="1"/>
    <col min="3" max="3" width="22" customWidth="1"/>
  </cols>
  <sheetData>
    <row r="1" spans="1:16">
      <c r="A1" t="s">
        <v>1</v>
      </c>
      <c r="B1" t="s">
        <v>0</v>
      </c>
      <c r="C1" t="s">
        <v>18</v>
      </c>
    </row>
    <row r="2" spans="1:16">
      <c r="A2" s="3" t="s">
        <v>2</v>
      </c>
      <c r="B2">
        <v>0</v>
      </c>
    </row>
    <row r="3" spans="1:16">
      <c r="A3" s="3" t="s">
        <v>3</v>
      </c>
      <c r="B3">
        <v>1</v>
      </c>
    </row>
    <row r="4" spans="1:16">
      <c r="A4" s="3" t="s">
        <v>4</v>
      </c>
      <c r="B4">
        <v>2</v>
      </c>
    </row>
    <row r="5" spans="1:16">
      <c r="A5" s="4" t="s">
        <v>5</v>
      </c>
      <c r="B5">
        <v>3</v>
      </c>
    </row>
    <row r="6" spans="1:16">
      <c r="A6" s="3" t="s">
        <v>6</v>
      </c>
      <c r="B6">
        <v>4</v>
      </c>
      <c r="I6">
        <f>+J6*J7*J8</f>
        <v>99</v>
      </c>
      <c r="J6">
        <v>11</v>
      </c>
      <c r="K6">
        <v>9</v>
      </c>
      <c r="L6">
        <v>9</v>
      </c>
      <c r="P6" s="2">
        <v>13464</v>
      </c>
    </row>
    <row r="7" spans="1:16">
      <c r="A7" s="3" t="s">
        <v>7</v>
      </c>
      <c r="B7">
        <v>5</v>
      </c>
      <c r="J7">
        <v>3</v>
      </c>
      <c r="K7">
        <v>3</v>
      </c>
      <c r="L7">
        <v>4</v>
      </c>
      <c r="P7">
        <f>+P6/J10</f>
        <v>17</v>
      </c>
    </row>
    <row r="8" spans="1:16">
      <c r="A8" s="3" t="s">
        <v>8</v>
      </c>
      <c r="B8">
        <v>6</v>
      </c>
      <c r="J8">
        <v>3</v>
      </c>
      <c r="K8">
        <v>3</v>
      </c>
      <c r="L8">
        <v>3</v>
      </c>
      <c r="P8">
        <f>+P6/PRODUCT(J6)</f>
        <v>1224</v>
      </c>
    </row>
    <row r="9" spans="1:16">
      <c r="A9" s="3" t="s">
        <v>9</v>
      </c>
      <c r="B9">
        <v>7</v>
      </c>
      <c r="J9">
        <v>8</v>
      </c>
      <c r="K9">
        <v>8</v>
      </c>
      <c r="L9">
        <v>8</v>
      </c>
    </row>
    <row r="10" spans="1:16">
      <c r="A10" s="3" t="s">
        <v>10</v>
      </c>
      <c r="B10">
        <v>0</v>
      </c>
      <c r="J10">
        <f>+PRODUCT(J6:J9)</f>
        <v>792</v>
      </c>
      <c r="K10">
        <f>+PRODUCT(K6:K9)</f>
        <v>648</v>
      </c>
      <c r="L10">
        <f>+PRODUCT(L6:L9)</f>
        <v>864</v>
      </c>
    </row>
    <row r="11" spans="1:16">
      <c r="A11" s="3" t="s">
        <v>11</v>
      </c>
      <c r="B11">
        <v>1</v>
      </c>
      <c r="J11">
        <f>+J10*6</f>
        <v>4752</v>
      </c>
    </row>
    <row r="12" spans="1:16">
      <c r="A12" s="3" t="s">
        <v>12</v>
      </c>
      <c r="B12">
        <v>2</v>
      </c>
    </row>
    <row r="13" spans="1:16">
      <c r="A13" s="3" t="s">
        <v>13</v>
      </c>
      <c r="B13">
        <v>3</v>
      </c>
    </row>
    <row r="14" spans="1:16">
      <c r="A14" s="3" t="s">
        <v>14</v>
      </c>
      <c r="B14">
        <v>4</v>
      </c>
    </row>
    <row r="15" spans="1:16">
      <c r="A15" s="3" t="s">
        <v>15</v>
      </c>
      <c r="B15">
        <v>5</v>
      </c>
      <c r="F15">
        <v>0</v>
      </c>
    </row>
    <row r="16" spans="1:16">
      <c r="A16" s="3" t="s">
        <v>16</v>
      </c>
      <c r="B16">
        <v>6</v>
      </c>
      <c r="C16" t="s">
        <v>17</v>
      </c>
    </row>
    <row r="17" spans="1:2">
      <c r="A17" s="3" t="s">
        <v>19</v>
      </c>
      <c r="B17">
        <v>7</v>
      </c>
    </row>
    <row r="18" spans="1:2">
      <c r="A18" s="3" t="s">
        <v>20</v>
      </c>
      <c r="B18">
        <v>0</v>
      </c>
    </row>
    <row r="19" spans="1:2">
      <c r="A19" s="3" t="s">
        <v>21</v>
      </c>
      <c r="B19">
        <v>1</v>
      </c>
    </row>
    <row r="20" spans="1:2">
      <c r="A20" s="3" t="s">
        <v>22</v>
      </c>
      <c r="B20">
        <v>2</v>
      </c>
    </row>
    <row r="21" spans="1:2">
      <c r="A21" s="3" t="s">
        <v>23</v>
      </c>
      <c r="B21">
        <v>3</v>
      </c>
    </row>
    <row r="22" spans="1:2">
      <c r="A22" s="3" t="s">
        <v>24</v>
      </c>
      <c r="B22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2916-64B2-4D3E-9027-C8DA4CAC5A27}">
  <dimension ref="A1:F10"/>
  <sheetViews>
    <sheetView workbookViewId="0">
      <selection activeCell="C35" sqref="C35"/>
    </sheetView>
  </sheetViews>
  <sheetFormatPr defaultRowHeight="15"/>
  <cols>
    <col min="2" max="2" width="10.28515625" customWidth="1"/>
  </cols>
  <sheetData>
    <row r="1" spans="1:6">
      <c r="A1" t="s">
        <v>0</v>
      </c>
    </row>
    <row r="2" spans="1:6">
      <c r="A2">
        <v>0</v>
      </c>
      <c r="B2">
        <f>+COUNTIF(Table2[Order],Total!A2)</f>
        <v>3</v>
      </c>
    </row>
    <row r="3" spans="1:6">
      <c r="A3">
        <v>1</v>
      </c>
      <c r="B3">
        <f>+COUNTIF(Table2[Order],Total!A3)</f>
        <v>3</v>
      </c>
    </row>
    <row r="4" spans="1:6">
      <c r="A4">
        <v>2</v>
      </c>
      <c r="B4">
        <f>+COUNTIF(Table2[Order],Total!A4)</f>
        <v>3</v>
      </c>
      <c r="F4" s="1"/>
    </row>
    <row r="5" spans="1:6">
      <c r="A5">
        <v>3</v>
      </c>
      <c r="B5">
        <f>+COUNTIF(Table2[Order],Total!A5)</f>
        <v>3</v>
      </c>
    </row>
    <row r="6" spans="1:6">
      <c r="A6">
        <v>4</v>
      </c>
      <c r="B6">
        <f>+COUNTIF(Table2[Order],Total!A6)</f>
        <v>3</v>
      </c>
    </row>
    <row r="7" spans="1:6">
      <c r="A7">
        <v>5</v>
      </c>
      <c r="B7">
        <f>+COUNTIF(Table2[Order],Total!A7)</f>
        <v>2</v>
      </c>
    </row>
    <row r="8" spans="1:6">
      <c r="A8">
        <v>6</v>
      </c>
      <c r="B8">
        <f>+COUNTIF(Table2[Order],Total!A8)</f>
        <v>2</v>
      </c>
    </row>
    <row r="9" spans="1:6">
      <c r="A9">
        <v>7</v>
      </c>
      <c r="B9">
        <f>+COUNTIF(Table2[Order],Total!A9)</f>
        <v>2</v>
      </c>
    </row>
    <row r="10" spans="1:6">
      <c r="B10">
        <f>+SUM(B2:B9)</f>
        <v>21</v>
      </c>
    </row>
  </sheetData>
  <conditionalFormatting sqref="B2:B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Total</vt:lpstr>
    </vt:vector>
  </TitlesOfParts>
  <Company>Carleton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Gonzalez Avila</dc:creator>
  <cp:lastModifiedBy>Felipe Gonzalez Avila</cp:lastModifiedBy>
  <dcterms:created xsi:type="dcterms:W3CDTF">2026-02-27T15:17:45Z</dcterms:created>
  <dcterms:modified xsi:type="dcterms:W3CDTF">2026-03-13T20:18:53Z</dcterms:modified>
</cp:coreProperties>
</file>